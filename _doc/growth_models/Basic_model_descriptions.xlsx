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Coding\LifePlus_Simulator\code\_doc\growth_models\"/>
    </mc:Choice>
  </mc:AlternateContent>
  <xr:revisionPtr revIDLastSave="0" documentId="13_ncr:1_{28F85E53-AD4E-40C0-B8FD-8C3DC7197A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1" l="1"/>
  <c r="K15" i="1"/>
  <c r="K14" i="1"/>
  <c r="D20" i="1"/>
  <c r="D19" i="1"/>
  <c r="D18" i="1"/>
  <c r="D17" i="1"/>
  <c r="D16" i="1"/>
  <c r="D15" i="1"/>
  <c r="J15" i="1"/>
  <c r="L16" i="1"/>
  <c r="L14" i="1"/>
  <c r="L15" i="1" s="1"/>
  <c r="J16" i="1" s="1"/>
  <c r="J14" i="1"/>
  <c r="D14" i="1"/>
  <c r="D1" i="1"/>
  <c r="D3" i="1"/>
  <c r="D2" i="1"/>
  <c r="S29" i="1"/>
  <c r="R29" i="1"/>
  <c r="Q29" i="1"/>
  <c r="P29" i="1"/>
  <c r="O29" i="1"/>
  <c r="N29" i="1"/>
  <c r="M29" i="1"/>
  <c r="L29" i="1"/>
  <c r="K29" i="1"/>
  <c r="J29" i="1"/>
  <c r="M14" i="1" l="1"/>
  <c r="M15" i="1" s="1"/>
  <c r="M30" i="1"/>
  <c r="D21" i="1"/>
  <c r="D22" i="1" s="1"/>
  <c r="D23" i="1" s="1"/>
  <c r="D24" i="1" s="1"/>
  <c r="L30" i="1"/>
  <c r="E14" i="1"/>
  <c r="N30" i="1"/>
  <c r="O31" i="1"/>
  <c r="O30" i="1"/>
  <c r="P30" i="1"/>
  <c r="Q30" i="1"/>
  <c r="J30" i="1"/>
  <c r="R30" i="1"/>
  <c r="K30" i="1"/>
  <c r="S30" i="1"/>
  <c r="I29" i="1"/>
  <c r="V29" i="1" s="1"/>
  <c r="R31" i="1"/>
  <c r="F14" i="1" l="1"/>
  <c r="G14" i="1"/>
  <c r="V14" i="1" s="1"/>
  <c r="E15" i="1"/>
  <c r="N31" i="1"/>
  <c r="Q31" i="1"/>
  <c r="P31" i="1"/>
  <c r="W29" i="1"/>
  <c r="X29" i="1" s="1"/>
  <c r="V30" i="1"/>
  <c r="W30" i="1" s="1"/>
  <c r="S31" i="1"/>
  <c r="K31" i="1" l="1"/>
  <c r="M31" i="1"/>
  <c r="L31" i="1"/>
  <c r="F15" i="1"/>
  <c r="E16" i="1" s="1"/>
  <c r="G15" i="1"/>
  <c r="V15" i="1" s="1"/>
  <c r="W14" i="1"/>
  <c r="X14" i="1" s="1"/>
  <c r="S32" i="1"/>
  <c r="R32" i="1"/>
  <c r="N32" i="1"/>
  <c r="P32" i="1"/>
  <c r="O32" i="1"/>
  <c r="Q32" i="1"/>
  <c r="X30" i="1"/>
  <c r="V31" i="1"/>
  <c r="W31" i="1" s="1"/>
  <c r="F16" i="1" l="1"/>
  <c r="E17" i="1" s="1"/>
  <c r="F17" i="1" s="1"/>
  <c r="G16" i="1"/>
  <c r="V16" i="1" s="1"/>
  <c r="W15" i="1"/>
  <c r="X15" i="1" s="1"/>
  <c r="R33" i="1"/>
  <c r="S33" i="1"/>
  <c r="O33" i="1"/>
  <c r="N33" i="1"/>
  <c r="P33" i="1"/>
  <c r="Q33" i="1"/>
  <c r="X31" i="1"/>
  <c r="J17" i="1" l="1"/>
  <c r="K17" i="1" s="1"/>
  <c r="L17" i="1" s="1"/>
  <c r="M16" i="1"/>
  <c r="M32" i="1" s="1"/>
  <c r="L32" i="1"/>
  <c r="V32" i="1" s="1"/>
  <c r="W32" i="1" s="1"/>
  <c r="X32" i="1" s="1"/>
  <c r="G17" i="1"/>
  <c r="V17" i="1" s="1"/>
  <c r="E18" i="1"/>
  <c r="F18" i="1" s="1"/>
  <c r="W16" i="1"/>
  <c r="X16" i="1" s="1"/>
  <c r="S34" i="1"/>
  <c r="P34" i="1"/>
  <c r="Q34" i="1"/>
  <c r="N34" i="1"/>
  <c r="O34" i="1"/>
  <c r="R34" i="1"/>
  <c r="J18" i="1" l="1"/>
  <c r="K18" i="1" s="1"/>
  <c r="L18" i="1" s="1"/>
  <c r="G18" i="1"/>
  <c r="V18" i="1" s="1"/>
  <c r="E19" i="1"/>
  <c r="F19" i="1" s="1"/>
  <c r="W17" i="1"/>
  <c r="X17" i="1" s="1"/>
  <c r="S35" i="1"/>
  <c r="P35" i="1"/>
  <c r="R35" i="1"/>
  <c r="O35" i="1"/>
  <c r="Q35" i="1"/>
  <c r="M17" i="1" l="1"/>
  <c r="E20" i="1"/>
  <c r="F20" i="1" s="1"/>
  <c r="E21" i="1" s="1"/>
  <c r="F21" i="1" s="1"/>
  <c r="G19" i="1"/>
  <c r="V19" i="1" s="1"/>
  <c r="W18" i="1"/>
  <c r="X18" i="1" s="1"/>
  <c r="P36" i="1"/>
  <c r="Q36" i="1"/>
  <c r="S36" i="1"/>
  <c r="R36" i="1"/>
  <c r="M33" i="1" l="1"/>
  <c r="M18" i="1"/>
  <c r="J19" i="1"/>
  <c r="K19" i="1" s="1"/>
  <c r="L19" i="1" s="1"/>
  <c r="V33" i="1"/>
  <c r="W33" i="1" s="1"/>
  <c r="X33" i="1" s="1"/>
  <c r="V34" i="1"/>
  <c r="W34" i="1" s="1"/>
  <c r="X34" i="1" s="1"/>
  <c r="V36" i="1"/>
  <c r="W36" i="1" s="1"/>
  <c r="X36" i="1" s="1"/>
  <c r="V35" i="1"/>
  <c r="W35" i="1" s="1"/>
  <c r="X35" i="1" s="1"/>
  <c r="G20" i="1"/>
  <c r="G21" i="1" s="1"/>
  <c r="W19" i="1"/>
  <c r="X19" i="1" s="1"/>
  <c r="E22" i="1"/>
  <c r="F22" i="1" s="1"/>
  <c r="Q37" i="1"/>
  <c r="V37" i="1" s="1"/>
  <c r="W37" i="1" s="1"/>
  <c r="R37" i="1"/>
  <c r="S37" i="1"/>
  <c r="J20" i="1" l="1"/>
  <c r="K20" i="1" s="1"/>
  <c r="L20" i="1" s="1"/>
  <c r="V20" i="1"/>
  <c r="W20" i="1" s="1"/>
  <c r="X20" i="1" s="1"/>
  <c r="G22" i="1"/>
  <c r="X37" i="1"/>
  <c r="R38" i="1"/>
  <c r="V38" i="1" s="1"/>
  <c r="W38" i="1" s="1"/>
  <c r="S38" i="1"/>
  <c r="V21" i="1"/>
  <c r="M19" i="1" l="1"/>
  <c r="J21" i="1"/>
  <c r="E23" i="1"/>
  <c r="F23" i="1" s="1"/>
  <c r="X38" i="1"/>
  <c r="W21" i="1"/>
  <c r="X21" i="1" s="1"/>
  <c r="S39" i="1"/>
  <c r="V39" i="1" s="1"/>
  <c r="V22" i="1"/>
  <c r="M20" i="1" l="1"/>
  <c r="K21" i="1"/>
  <c r="L21" i="1" s="1"/>
  <c r="G23" i="1"/>
  <c r="V23" i="1" s="1"/>
  <c r="E24" i="1"/>
  <c r="F24" i="1" s="1"/>
  <c r="W22" i="1"/>
  <c r="X22" i="1" s="1"/>
  <c r="W39" i="1"/>
  <c r="X39" i="1" s="1"/>
  <c r="J22" i="1" l="1"/>
  <c r="G24" i="1"/>
  <c r="V24" i="1" s="1"/>
  <c r="W24" i="1" s="1"/>
  <c r="X24" i="1" s="1"/>
  <c r="W23" i="1"/>
  <c r="X23" i="1" s="1"/>
  <c r="K22" i="1" l="1"/>
  <c r="L22" i="1" s="1"/>
  <c r="M21" i="1"/>
  <c r="J23" i="1" l="1"/>
  <c r="M22" i="1" l="1"/>
  <c r="K23" i="1"/>
  <c r="L23" i="1" s="1"/>
  <c r="J24" i="1" l="1"/>
  <c r="K24" i="1" s="1"/>
  <c r="L24" i="1" s="1"/>
  <c r="M23" i="1" l="1"/>
  <c r="M24" i="1" s="1"/>
</calcChain>
</file>

<file path=xl/sharedStrings.xml><?xml version="1.0" encoding="utf-8"?>
<sst xmlns="http://schemas.openxmlformats.org/spreadsheetml/2006/main" count="77" uniqueCount="42">
  <si>
    <t>Wachstum</t>
  </si>
  <si>
    <t>Member/Jahr</t>
  </si>
  <si>
    <t>Shopper/Jahr</t>
  </si>
  <si>
    <t>Umsatz/Monat</t>
  </si>
  <si>
    <t>Fluktuation [%]</t>
  </si>
  <si>
    <t>Duplikation [%]</t>
  </si>
  <si>
    <t>Dynamik</t>
  </si>
  <si>
    <t>Umsätze Members und Shopper</t>
  </si>
  <si>
    <t>Jahr 1</t>
  </si>
  <si>
    <t>Jahr 2</t>
  </si>
  <si>
    <t>Jahr 3</t>
  </si>
  <si>
    <t>Jahr 4</t>
  </si>
  <si>
    <t>Jahr 5</t>
  </si>
  <si>
    <t>Jahr 6</t>
  </si>
  <si>
    <t>Jahr 7</t>
  </si>
  <si>
    <t>Jahr 8</t>
  </si>
  <si>
    <t>Jahr 9</t>
  </si>
  <si>
    <t>Jahr 10</t>
  </si>
  <si>
    <t>Jahr 11</t>
  </si>
  <si>
    <t>Members</t>
  </si>
  <si>
    <t>Member growth</t>
  </si>
  <si>
    <t>Member shrink</t>
  </si>
  <si>
    <t>Shopper shrink</t>
  </si>
  <si>
    <t>Member base</t>
  </si>
  <si>
    <t>Shopper growth y1</t>
  </si>
  <si>
    <t>Shopper growth y2</t>
  </si>
  <si>
    <t>Shopper growth y3</t>
  </si>
  <si>
    <t>Shopper growth y4</t>
  </si>
  <si>
    <t>Shopper growth y5</t>
  </si>
  <si>
    <t>Shopper growth y6</t>
  </si>
  <si>
    <t>Shopper growth y7</t>
  </si>
  <si>
    <t>Shopper growth y8</t>
  </si>
  <si>
    <t>Shopper growth y9</t>
  </si>
  <si>
    <t>Shopper growth y10</t>
  </si>
  <si>
    <t>Shopper growth y11</t>
  </si>
  <si>
    <t>Shoppers</t>
  </si>
  <si>
    <t>Members Total</t>
  </si>
  <si>
    <t>Shoppers Total</t>
  </si>
  <si>
    <t>Ganz</t>
  </si>
  <si>
    <t>Rest</t>
  </si>
  <si>
    <t>Duplikator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</si>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</sst>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168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"/>
  <sheetViews>
    <sheetView tabSelected="1" workbookViewId="0">
      <selection activeCell="K17" sqref="K17"/>
    </sheetView>
  </sheetViews>
  <sheetFormatPr baseColWidth="10" defaultColWidth="9.140625" defaultRowHeight="15" x14ac:dyDescent="0.25"/>
  <cols>
    <col min="1" max="1" width="12.85546875" customWidth="1"/>
    <col min="2" max="2" width="16.7109375" customWidth="1"/>
    <col min="11" max="11" width="11.42578125" customWidth="1"/>
    <col min="23" max="24" width="10.42578125" customWidth="1"/>
    <col min="26" max="26" width="10.42578125" customWidth="1"/>
    <col min="28" max="28" width="14.7109375" bestFit="1" customWidth="1"/>
    <col min="30" max="31" width="11.7109375" bestFit="1" customWidth="1"/>
    <col min="40" max="40" width="10.7109375" bestFit="1" customWidth="1"/>
    <col min="41" max="42" width="11.7109375" bestFit="1" customWidth="1"/>
    <col min="45" max="47" width="11.7109375" bestFit="1" customWidth="1"/>
  </cols>
  <sheetData>
    <row r="1" spans="1:47" x14ac:dyDescent="0.25">
      <c r="A1" t="s">
        <v>0</v>
      </c>
      <c r="C1" s="5"/>
      <c r="D1" s="6">
        <f>C9</f>
        <v>0.9</v>
      </c>
    </row>
    <row r="2" spans="1:47" x14ac:dyDescent="0.25">
      <c r="B2" t="s">
        <v>1</v>
      </c>
      <c r="C2" s="5">
        <v>2</v>
      </c>
      <c r="D2" s="5">
        <f>C2*C9</f>
        <v>1.8</v>
      </c>
    </row>
    <row r="3" spans="1:47" x14ac:dyDescent="0.25">
      <c r="B3" t="s">
        <v>2</v>
      </c>
      <c r="C3" s="5">
        <v>2</v>
      </c>
      <c r="D3" s="5">
        <f>C3*C9</f>
        <v>1.8</v>
      </c>
    </row>
    <row r="4" spans="1:47" x14ac:dyDescent="0.25">
      <c r="C4" s="5"/>
      <c r="D4" s="5"/>
    </row>
    <row r="5" spans="1:47" x14ac:dyDescent="0.25">
      <c r="A5" t="s">
        <v>7</v>
      </c>
      <c r="C5" s="5"/>
      <c r="D5" s="5"/>
    </row>
    <row r="6" spans="1:47" x14ac:dyDescent="0.25">
      <c r="B6" t="s">
        <v>3</v>
      </c>
      <c r="C6" s="5">
        <v>55</v>
      </c>
      <c r="D6" s="5"/>
    </row>
    <row r="7" spans="1:47" x14ac:dyDescent="0.25">
      <c r="C7" s="5"/>
      <c r="D7" s="5"/>
    </row>
    <row r="8" spans="1:47" x14ac:dyDescent="0.25">
      <c r="A8" t="s">
        <v>6</v>
      </c>
      <c r="C8" s="5"/>
      <c r="D8" s="5"/>
    </row>
    <row r="9" spans="1:47" x14ac:dyDescent="0.25">
      <c r="B9" t="s">
        <v>5</v>
      </c>
      <c r="C9" s="6">
        <v>0.9</v>
      </c>
      <c r="D9" s="5"/>
      <c r="AC9" s="1"/>
    </row>
    <row r="10" spans="1:47" x14ac:dyDescent="0.25">
      <c r="B10" t="s">
        <v>4</v>
      </c>
      <c r="C10" s="6">
        <v>0.5</v>
      </c>
      <c r="D10" s="5"/>
      <c r="AC10" s="1"/>
    </row>
    <row r="12" spans="1:47" s="2" customFormat="1" ht="30" x14ac:dyDescent="0.25">
      <c r="D12" s="2" t="s">
        <v>41</v>
      </c>
      <c r="E12" s="2" t="s">
        <v>38</v>
      </c>
      <c r="F12" s="2" t="s">
        <v>39</v>
      </c>
      <c r="G12" s="2" t="s">
        <v>23</v>
      </c>
      <c r="J12" s="2" t="s">
        <v>20</v>
      </c>
      <c r="K12" s="2" t="s">
        <v>40</v>
      </c>
      <c r="L12" s="2" t="s">
        <v>38</v>
      </c>
      <c r="M12" s="2" t="s">
        <v>39</v>
      </c>
      <c r="V12" s="2" t="s">
        <v>19</v>
      </c>
      <c r="W12" s="2" t="s">
        <v>21</v>
      </c>
      <c r="X12" s="2" t="s">
        <v>36</v>
      </c>
    </row>
    <row r="13" spans="1:47" s="2" customFormat="1" x14ac:dyDescent="0.25">
      <c r="C13"/>
      <c r="D13" s="3"/>
      <c r="F13" s="3">
        <v>0</v>
      </c>
      <c r="G13" s="3">
        <v>0</v>
      </c>
      <c r="H13" s="3"/>
      <c r="I13" s="4"/>
      <c r="J13" s="3"/>
      <c r="K13" s="4"/>
      <c r="L13" s="4"/>
      <c r="M13" s="4"/>
      <c r="N13" s="4"/>
      <c r="O13" s="4"/>
      <c r="P13" s="4"/>
      <c r="Q13" s="4"/>
      <c r="R13" s="4"/>
      <c r="S13" s="4"/>
      <c r="V13" s="3"/>
      <c r="W13" s="3"/>
      <c r="AC13"/>
      <c r="AD13" s="3"/>
      <c r="AE13" s="3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S13" s="3"/>
      <c r="AT13" s="3"/>
    </row>
    <row r="14" spans="1:47" x14ac:dyDescent="0.25">
      <c r="C14" t="s">
        <v>8</v>
      </c>
      <c r="D14" s="4">
        <f>C2</f>
        <v>2</v>
      </c>
      <c r="E14" s="4">
        <f>INT(D14+F13)</f>
        <v>2</v>
      </c>
      <c r="F14" s="4">
        <f>D14-E14</f>
        <v>0</v>
      </c>
      <c r="G14" s="4">
        <f>E14+G13</f>
        <v>2</v>
      </c>
      <c r="H14" s="4"/>
      <c r="I14" s="4"/>
      <c r="J14" s="4">
        <f>C2</f>
        <v>2</v>
      </c>
      <c r="K14" s="4">
        <f>J14*C$9</f>
        <v>1.8</v>
      </c>
      <c r="L14" s="4">
        <f>INT(K14)</f>
        <v>1</v>
      </c>
      <c r="M14" s="4">
        <f>K14-L14</f>
        <v>0.8</v>
      </c>
      <c r="N14" s="4"/>
      <c r="O14" s="4"/>
      <c r="P14" s="4"/>
      <c r="Q14" s="4"/>
      <c r="R14" s="4"/>
      <c r="S14" s="4"/>
      <c r="U14" t="s">
        <v>8</v>
      </c>
      <c r="V14" s="4">
        <f>G14</f>
        <v>2</v>
      </c>
      <c r="W14" s="4">
        <f>V14*C$10</f>
        <v>1</v>
      </c>
      <c r="X14" s="4">
        <f>V14-W14</f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S14" s="4"/>
      <c r="AT14" s="4"/>
      <c r="AU14" s="4"/>
    </row>
    <row r="15" spans="1:47" x14ac:dyDescent="0.25">
      <c r="C15" t="s">
        <v>9</v>
      </c>
      <c r="D15" s="4">
        <f>D14*D$2</f>
        <v>3.6</v>
      </c>
      <c r="E15" s="4">
        <f>INT(D15+F14)</f>
        <v>3</v>
      </c>
      <c r="F15" s="4">
        <f>(D15+F14)-E15</f>
        <v>0.60000000000000009</v>
      </c>
      <c r="G15" s="4">
        <f>E15+G14</f>
        <v>5</v>
      </c>
      <c r="H15" s="4"/>
      <c r="J15" s="4">
        <f>J14+L14*C$2</f>
        <v>4</v>
      </c>
      <c r="K15" s="4">
        <f>J15*C$9</f>
        <v>3.6</v>
      </c>
      <c r="L15" s="4">
        <f>INT(K15)</f>
        <v>3</v>
      </c>
      <c r="M15" s="4">
        <f>K15-L15</f>
        <v>0.60000000000000009</v>
      </c>
      <c r="N15" s="4"/>
      <c r="O15" s="4"/>
      <c r="P15" s="4"/>
      <c r="Q15" s="4"/>
      <c r="R15" s="4"/>
      <c r="S15" s="4"/>
      <c r="U15" t="s">
        <v>9</v>
      </c>
      <c r="V15" s="4">
        <f>G15</f>
        <v>5</v>
      </c>
      <c r="W15" s="4">
        <f>V15*C$10</f>
        <v>2.5</v>
      </c>
      <c r="X15" s="4">
        <f>V15-W15</f>
        <v>2.5</v>
      </c>
      <c r="AD15" s="4"/>
      <c r="AE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S15" s="4"/>
      <c r="AT15" s="4"/>
      <c r="AU15" s="4"/>
    </row>
    <row r="16" spans="1:47" x14ac:dyDescent="0.25">
      <c r="C16" t="s">
        <v>10</v>
      </c>
      <c r="D16" s="4">
        <f>D15*D$2</f>
        <v>6.48</v>
      </c>
      <c r="E16" s="4">
        <f t="shared" ref="E16:E24" si="0">INT(D16+F15)</f>
        <v>7</v>
      </c>
      <c r="F16" s="4">
        <f t="shared" ref="F16:F24" si="1">(D16+F15)-E16</f>
        <v>8.0000000000000071E-2</v>
      </c>
      <c r="G16" s="4">
        <f t="shared" ref="G16:G24" si="2">E16+G15</f>
        <v>12</v>
      </c>
      <c r="H16" s="4"/>
      <c r="J16" s="4">
        <f>J15+L15*C$2</f>
        <v>10</v>
      </c>
      <c r="K16" s="4">
        <f>J16*C$9</f>
        <v>9</v>
      </c>
      <c r="L16" s="4">
        <f t="shared" ref="L16:L24" si="3">INT(K16)</f>
        <v>9</v>
      </c>
      <c r="M16" s="4">
        <f t="shared" ref="M16:M24" si="4">K16-L16</f>
        <v>0</v>
      </c>
      <c r="N16" s="4"/>
      <c r="O16" s="4"/>
      <c r="P16" s="4"/>
      <c r="Q16" s="4"/>
      <c r="R16" s="4"/>
      <c r="S16" s="4"/>
      <c r="U16" t="s">
        <v>10</v>
      </c>
      <c r="V16" s="4">
        <f>G16</f>
        <v>12</v>
      </c>
      <c r="W16" s="4">
        <f>V16*C$10</f>
        <v>6</v>
      </c>
      <c r="X16" s="4">
        <f>V16-W16</f>
        <v>6</v>
      </c>
      <c r="AD16" s="4"/>
      <c r="AE16" s="4"/>
      <c r="AH16" s="4"/>
      <c r="AI16" s="4"/>
      <c r="AJ16" s="4"/>
      <c r="AK16" s="4"/>
      <c r="AL16" s="4"/>
      <c r="AM16" s="4"/>
      <c r="AN16" s="4"/>
      <c r="AO16" s="4"/>
      <c r="AP16" s="4"/>
      <c r="AS16" s="4"/>
      <c r="AT16" s="4"/>
      <c r="AU16" s="4"/>
    </row>
    <row r="17" spans="3:47" x14ac:dyDescent="0.25">
      <c r="C17" t="s">
        <v>11</v>
      </c>
      <c r="D17" s="4">
        <f>D16*D$2</f>
        <v>11.664000000000001</v>
      </c>
      <c r="E17" s="4">
        <f t="shared" si="0"/>
        <v>11</v>
      </c>
      <c r="F17" s="4">
        <f t="shared" si="1"/>
        <v>0.74400000000000155</v>
      </c>
      <c r="G17" s="4">
        <f t="shared" si="2"/>
        <v>23</v>
      </c>
      <c r="H17" s="4"/>
      <c r="J17" s="4">
        <f t="shared" ref="J16:J24" si="5">J16+L16*C$2</f>
        <v>28</v>
      </c>
      <c r="K17" s="4">
        <f>J17*C$9</f>
        <v>25.2</v>
      </c>
      <c r="L17" s="4">
        <f t="shared" si="3"/>
        <v>25</v>
      </c>
      <c r="M17" s="4">
        <f t="shared" si="4"/>
        <v>0.19999999999999929</v>
      </c>
      <c r="N17" s="4"/>
      <c r="O17" s="4"/>
      <c r="P17" s="4"/>
      <c r="Q17" s="4"/>
      <c r="R17" s="4"/>
      <c r="S17" s="4"/>
      <c r="U17" t="s">
        <v>11</v>
      </c>
      <c r="V17" s="4">
        <f>G17</f>
        <v>23</v>
      </c>
      <c r="W17" s="4">
        <f>V17*C$10</f>
        <v>11.5</v>
      </c>
      <c r="X17" s="4">
        <f>V17-W17</f>
        <v>11.5</v>
      </c>
      <c r="AD17" s="4"/>
      <c r="AE17" s="4"/>
      <c r="AI17" s="4"/>
      <c r="AJ17" s="4"/>
      <c r="AK17" s="4"/>
      <c r="AL17" s="4"/>
      <c r="AM17" s="4"/>
      <c r="AN17" s="4"/>
      <c r="AO17" s="4"/>
      <c r="AP17" s="4"/>
      <c r="AS17" s="4"/>
      <c r="AT17" s="4"/>
      <c r="AU17" s="4"/>
    </row>
    <row r="18" spans="3:47" x14ac:dyDescent="0.25">
      <c r="C18" t="s">
        <v>12</v>
      </c>
      <c r="D18" s="4">
        <f>D17*D$2</f>
        <v>20.995200000000004</v>
      </c>
      <c r="E18" s="4">
        <f t="shared" si="0"/>
        <v>21</v>
      </c>
      <c r="F18" s="4">
        <f t="shared" si="1"/>
        <v>0.73920000000000385</v>
      </c>
      <c r="G18" s="4">
        <f t="shared" si="2"/>
        <v>44</v>
      </c>
      <c r="H18" s="4"/>
      <c r="J18" s="4">
        <f t="shared" si="5"/>
        <v>78</v>
      </c>
      <c r="K18" s="4">
        <f>J18*C$9</f>
        <v>70.2</v>
      </c>
      <c r="L18" s="4">
        <f t="shared" si="3"/>
        <v>70</v>
      </c>
      <c r="M18" s="4">
        <f t="shared" si="4"/>
        <v>0.20000000000000284</v>
      </c>
      <c r="N18" s="4"/>
      <c r="O18" s="4"/>
      <c r="P18" s="4"/>
      <c r="Q18" s="4"/>
      <c r="R18" s="4"/>
      <c r="S18" s="4"/>
      <c r="U18" t="s">
        <v>12</v>
      </c>
      <c r="V18" s="4">
        <f>G18</f>
        <v>44</v>
      </c>
      <c r="W18" s="4">
        <f>V18*C$10</f>
        <v>22</v>
      </c>
      <c r="X18" s="4">
        <f>V18-W18</f>
        <v>22</v>
      </c>
      <c r="AD18" s="4"/>
      <c r="AE18" s="4"/>
      <c r="AJ18" s="4"/>
      <c r="AK18" s="4"/>
      <c r="AL18" s="4"/>
      <c r="AM18" s="4"/>
      <c r="AN18" s="4"/>
      <c r="AO18" s="4"/>
      <c r="AP18" s="4"/>
      <c r="AS18" s="4"/>
      <c r="AT18" s="4"/>
      <c r="AU18" s="4"/>
    </row>
    <row r="19" spans="3:47" x14ac:dyDescent="0.25">
      <c r="C19" t="s">
        <v>13</v>
      </c>
      <c r="D19" s="4">
        <f>D18*D$2</f>
        <v>37.791360000000012</v>
      </c>
      <c r="E19" s="4">
        <f t="shared" si="0"/>
        <v>38</v>
      </c>
      <c r="F19" s="4">
        <f t="shared" si="1"/>
        <v>0.53056000000001546</v>
      </c>
      <c r="G19" s="4">
        <f t="shared" si="2"/>
        <v>82</v>
      </c>
      <c r="H19" s="4"/>
      <c r="J19" s="4">
        <f t="shared" si="5"/>
        <v>218</v>
      </c>
      <c r="K19" s="4">
        <f>J19*C$9</f>
        <v>196.20000000000002</v>
      </c>
      <c r="L19" s="4">
        <f t="shared" si="3"/>
        <v>196</v>
      </c>
      <c r="M19" s="4">
        <f t="shared" si="4"/>
        <v>0.20000000000001705</v>
      </c>
      <c r="N19" s="4"/>
      <c r="O19" s="4"/>
      <c r="P19" s="4"/>
      <c r="Q19" s="4"/>
      <c r="R19" s="4"/>
      <c r="S19" s="4"/>
      <c r="U19" t="s">
        <v>13</v>
      </c>
      <c r="V19" s="4">
        <f>G19</f>
        <v>82</v>
      </c>
      <c r="W19" s="4">
        <f>V19*C$10</f>
        <v>41</v>
      </c>
      <c r="X19" s="4">
        <f>V19-W19</f>
        <v>41</v>
      </c>
      <c r="AD19" s="4"/>
      <c r="AE19" s="4"/>
      <c r="AK19" s="4"/>
      <c r="AL19" s="4"/>
      <c r="AM19" s="4"/>
      <c r="AN19" s="4"/>
      <c r="AO19" s="4"/>
      <c r="AP19" s="4"/>
      <c r="AS19" s="4"/>
      <c r="AT19" s="4"/>
      <c r="AU19" s="4"/>
    </row>
    <row r="20" spans="3:47" x14ac:dyDescent="0.25">
      <c r="C20" t="s">
        <v>14</v>
      </c>
      <c r="D20" s="4">
        <f>D19*D$2</f>
        <v>68.024448000000021</v>
      </c>
      <c r="E20" s="4">
        <f t="shared" si="0"/>
        <v>68</v>
      </c>
      <c r="F20" s="4">
        <f t="shared" si="1"/>
        <v>0.55500800000004347</v>
      </c>
      <c r="G20" s="4">
        <f t="shared" si="2"/>
        <v>150</v>
      </c>
      <c r="H20" s="4"/>
      <c r="J20" s="4">
        <f t="shared" si="5"/>
        <v>610</v>
      </c>
      <c r="K20" s="4">
        <f>J20*C$9</f>
        <v>549</v>
      </c>
      <c r="L20" s="4">
        <f t="shared" si="3"/>
        <v>549</v>
      </c>
      <c r="M20" s="4">
        <f t="shared" si="4"/>
        <v>0</v>
      </c>
      <c r="O20" s="4"/>
      <c r="P20" s="4"/>
      <c r="Q20" s="4"/>
      <c r="R20" s="4"/>
      <c r="S20" s="4"/>
      <c r="U20" t="s">
        <v>14</v>
      </c>
      <c r="V20" s="4">
        <f>G20</f>
        <v>150</v>
      </c>
      <c r="W20" s="4">
        <f>V20*C$10</f>
        <v>75</v>
      </c>
      <c r="X20" s="4">
        <f>V20-W20</f>
        <v>75</v>
      </c>
      <c r="AD20" s="4"/>
      <c r="AE20" s="4"/>
      <c r="AL20" s="4"/>
      <c r="AM20" s="4"/>
      <c r="AN20" s="4"/>
      <c r="AO20" s="4"/>
      <c r="AP20" s="4"/>
      <c r="AS20" s="4"/>
      <c r="AT20" s="4"/>
      <c r="AU20" s="4"/>
    </row>
    <row r="21" spans="3:47" x14ac:dyDescent="0.25">
      <c r="C21" t="s">
        <v>15</v>
      </c>
      <c r="D21" s="4">
        <f>D20*D$2</f>
        <v>122.44400640000003</v>
      </c>
      <c r="E21" s="4">
        <f t="shared" si="0"/>
        <v>122</v>
      </c>
      <c r="F21" s="4">
        <f t="shared" si="1"/>
        <v>0.99901440000007824</v>
      </c>
      <c r="G21" s="4">
        <f t="shared" si="2"/>
        <v>272</v>
      </c>
      <c r="H21" s="4"/>
      <c r="J21" s="4">
        <f t="shared" si="5"/>
        <v>1708</v>
      </c>
      <c r="K21" s="4">
        <f>J21*C$9</f>
        <v>1537.2</v>
      </c>
      <c r="L21" s="4">
        <f t="shared" si="3"/>
        <v>1537</v>
      </c>
      <c r="M21" s="4">
        <f t="shared" si="4"/>
        <v>0.20000000000004547</v>
      </c>
      <c r="P21" s="4"/>
      <c r="Q21" s="4"/>
      <c r="R21" s="4"/>
      <c r="S21" s="4"/>
      <c r="U21" t="s">
        <v>15</v>
      </c>
      <c r="V21" s="4">
        <f>G21</f>
        <v>272</v>
      </c>
      <c r="W21" s="4">
        <f>V21*C$10</f>
        <v>136</v>
      </c>
      <c r="X21" s="4">
        <f>V21-W21</f>
        <v>136</v>
      </c>
      <c r="AD21" s="4"/>
      <c r="AE21" s="4"/>
      <c r="AM21" s="4"/>
      <c r="AN21" s="4"/>
      <c r="AO21" s="4"/>
      <c r="AP21" s="4"/>
      <c r="AS21" s="4"/>
      <c r="AT21" s="4"/>
      <c r="AU21" s="4"/>
    </row>
    <row r="22" spans="3:47" x14ac:dyDescent="0.25">
      <c r="C22" t="s">
        <v>16</v>
      </c>
      <c r="D22" s="4">
        <f>D21*D$2</f>
        <v>220.39921152000008</v>
      </c>
      <c r="E22" s="4">
        <f t="shared" si="0"/>
        <v>221</v>
      </c>
      <c r="F22" s="4">
        <f t="shared" si="1"/>
        <v>0.39822592000015788</v>
      </c>
      <c r="G22" s="4">
        <f t="shared" si="2"/>
        <v>493</v>
      </c>
      <c r="H22" s="4"/>
      <c r="J22" s="4">
        <f t="shared" si="5"/>
        <v>4782</v>
      </c>
      <c r="K22" s="4">
        <f>J22*C$9</f>
        <v>4303.8</v>
      </c>
      <c r="L22" s="4">
        <f t="shared" si="3"/>
        <v>4303</v>
      </c>
      <c r="M22" s="4">
        <f t="shared" si="4"/>
        <v>0.8000000000001819</v>
      </c>
      <c r="Q22" s="4"/>
      <c r="R22" s="4"/>
      <c r="S22" s="4"/>
      <c r="U22" t="s">
        <v>16</v>
      </c>
      <c r="V22" s="4">
        <f>G22</f>
        <v>493</v>
      </c>
      <c r="W22" s="4">
        <f>V22*C$10</f>
        <v>246.5</v>
      </c>
      <c r="X22" s="4">
        <f>V22-W22</f>
        <v>246.5</v>
      </c>
      <c r="AD22" s="4"/>
      <c r="AE22" s="4"/>
      <c r="AN22" s="4"/>
      <c r="AO22" s="4"/>
      <c r="AP22" s="4"/>
      <c r="AS22" s="4"/>
      <c r="AT22" s="4"/>
      <c r="AU22" s="4"/>
    </row>
    <row r="23" spans="3:47" x14ac:dyDescent="0.25">
      <c r="C23" t="s">
        <v>17</v>
      </c>
      <c r="D23" s="4">
        <f>D22*D$2</f>
        <v>396.71858073600015</v>
      </c>
      <c r="E23" s="4">
        <f t="shared" si="0"/>
        <v>397</v>
      </c>
      <c r="F23" s="4">
        <f t="shared" si="1"/>
        <v>0.11680665600033535</v>
      </c>
      <c r="G23" s="4">
        <f t="shared" si="2"/>
        <v>890</v>
      </c>
      <c r="H23" s="4"/>
      <c r="J23" s="4">
        <f t="shared" si="5"/>
        <v>13388</v>
      </c>
      <c r="K23" s="4">
        <f>J23*C$9</f>
        <v>12049.2</v>
      </c>
      <c r="L23" s="4">
        <f t="shared" si="3"/>
        <v>12049</v>
      </c>
      <c r="M23" s="4">
        <f t="shared" si="4"/>
        <v>0.2000000000007276</v>
      </c>
      <c r="R23" s="4"/>
      <c r="S23" s="4"/>
      <c r="U23" t="s">
        <v>17</v>
      </c>
      <c r="V23" s="4">
        <f>G23</f>
        <v>890</v>
      </c>
      <c r="W23" s="4">
        <f>V23*C$10</f>
        <v>445</v>
      </c>
      <c r="X23" s="4">
        <f>V23-W23</f>
        <v>445</v>
      </c>
      <c r="AD23" s="4"/>
      <c r="AE23" s="4"/>
      <c r="AO23" s="4"/>
      <c r="AP23" s="4"/>
      <c r="AS23" s="4"/>
      <c r="AT23" s="4"/>
      <c r="AU23" s="4"/>
    </row>
    <row r="24" spans="3:47" x14ac:dyDescent="0.25">
      <c r="C24" t="s">
        <v>18</v>
      </c>
      <c r="D24" s="4">
        <f>D23*D$2</f>
        <v>714.09344532480031</v>
      </c>
      <c r="E24" s="4">
        <f t="shared" si="0"/>
        <v>714</v>
      </c>
      <c r="F24" s="4">
        <f t="shared" si="1"/>
        <v>0.21025198080064911</v>
      </c>
      <c r="G24" s="4">
        <f t="shared" si="2"/>
        <v>1604</v>
      </c>
      <c r="H24" s="4"/>
      <c r="J24" s="4">
        <f t="shared" si="5"/>
        <v>37486</v>
      </c>
      <c r="K24" s="4">
        <f>J24*C$9</f>
        <v>33737.4</v>
      </c>
      <c r="L24" s="4">
        <f t="shared" si="3"/>
        <v>33737</v>
      </c>
      <c r="M24" s="4">
        <f t="shared" si="4"/>
        <v>0.40000000000145519</v>
      </c>
      <c r="S24" s="4"/>
      <c r="U24" t="s">
        <v>18</v>
      </c>
      <c r="V24" s="4">
        <f>G24</f>
        <v>1604</v>
      </c>
      <c r="W24" s="4">
        <f>V24*C$10</f>
        <v>802</v>
      </c>
      <c r="X24" s="4">
        <f>V24-W24</f>
        <v>802</v>
      </c>
      <c r="AD24" s="4"/>
      <c r="AE24" s="4"/>
      <c r="AP24" s="4"/>
      <c r="AS24" s="4"/>
      <c r="AT24" s="4"/>
      <c r="AU24" s="4"/>
    </row>
    <row r="27" spans="3:47" ht="45" x14ac:dyDescent="0.25">
      <c r="D27" s="2"/>
      <c r="E27" s="2"/>
      <c r="F27" s="2"/>
      <c r="G27" s="2"/>
      <c r="H27" s="2"/>
      <c r="I27" s="2" t="s">
        <v>24</v>
      </c>
      <c r="J27" s="2" t="s">
        <v>25</v>
      </c>
      <c r="K27" s="2" t="s">
        <v>26</v>
      </c>
      <c r="L27" s="2" t="s">
        <v>27</v>
      </c>
      <c r="M27" s="2" t="s">
        <v>28</v>
      </c>
      <c r="N27" s="2" t="s">
        <v>29</v>
      </c>
      <c r="O27" s="2" t="s">
        <v>30</v>
      </c>
      <c r="P27" s="2" t="s">
        <v>31</v>
      </c>
      <c r="Q27" s="2" t="s">
        <v>32</v>
      </c>
      <c r="R27" s="2" t="s">
        <v>33</v>
      </c>
      <c r="S27" s="2" t="s">
        <v>34</v>
      </c>
      <c r="V27" s="2" t="s">
        <v>35</v>
      </c>
      <c r="W27" s="2" t="s">
        <v>22</v>
      </c>
      <c r="X27" s="2" t="s">
        <v>37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S27" s="2"/>
      <c r="AT27" s="2"/>
      <c r="AU27" s="2"/>
    </row>
    <row r="28" spans="3:47" x14ac:dyDescent="0.25">
      <c r="D28" s="3"/>
      <c r="E28" s="3"/>
      <c r="F28" s="3"/>
      <c r="G28" s="3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V28" s="3"/>
      <c r="W28" s="3"/>
      <c r="X28" s="2"/>
      <c r="AD28" s="3"/>
      <c r="AE28" s="3"/>
      <c r="AF28" s="2"/>
      <c r="AG28" s="2"/>
      <c r="AH28" s="2"/>
      <c r="AI28" s="2"/>
      <c r="AJ28" s="2"/>
      <c r="AK28" s="2"/>
      <c r="AL28" s="2"/>
      <c r="AM28" s="2"/>
      <c r="AN28" s="2"/>
      <c r="AO28" s="2"/>
      <c r="AS28" s="3"/>
      <c r="AT28" s="3"/>
      <c r="AU28" s="2"/>
    </row>
    <row r="29" spans="3:47" x14ac:dyDescent="0.25">
      <c r="C29" t="s">
        <v>8</v>
      </c>
      <c r="D29" s="4"/>
      <c r="E29" s="4"/>
      <c r="F29" s="4"/>
      <c r="G29" s="4"/>
      <c r="H29" s="4"/>
      <c r="I29" s="4">
        <f>I13*C$3*C$9</f>
        <v>0</v>
      </c>
      <c r="J29" s="4">
        <f>J13*C$3*C$9</f>
        <v>0</v>
      </c>
      <c r="K29" s="4">
        <f>K13*C$3*C$9</f>
        <v>0</v>
      </c>
      <c r="L29" s="4">
        <f>L13*C$3*C$9</f>
        <v>0</v>
      </c>
      <c r="M29" s="4">
        <f>M13*C$3*C$9</f>
        <v>0</v>
      </c>
      <c r="N29" s="4">
        <f>N13*C$3*C$9</f>
        <v>0</v>
      </c>
      <c r="O29" s="4">
        <f>O13*C$3*C$9</f>
        <v>0</v>
      </c>
      <c r="P29" s="4">
        <f>P13*C$3*C$9</f>
        <v>0</v>
      </c>
      <c r="Q29" s="4">
        <f>Q13*C$3*C$9</f>
        <v>0</v>
      </c>
      <c r="R29" s="4">
        <f>R13*C$3*C$9</f>
        <v>0</v>
      </c>
      <c r="S29" s="4">
        <f>S13*C$3*C$9</f>
        <v>0</v>
      </c>
      <c r="U29" t="s">
        <v>8</v>
      </c>
      <c r="V29" s="4">
        <f>SUM(I29)</f>
        <v>0</v>
      </c>
      <c r="W29" s="4">
        <f>V29*C$10</f>
        <v>0</v>
      </c>
      <c r="X29" s="4">
        <f>V29-W29</f>
        <v>0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S29" s="4"/>
      <c r="AT29" s="4"/>
      <c r="AU29" s="4"/>
    </row>
    <row r="30" spans="3:47" x14ac:dyDescent="0.25">
      <c r="C30" t="s">
        <v>9</v>
      </c>
      <c r="D30" s="4"/>
      <c r="E30" s="4"/>
      <c r="F30" s="4"/>
      <c r="G30" s="4"/>
      <c r="H30" s="4"/>
      <c r="I30" s="4"/>
      <c r="J30" s="4">
        <f>J14*C$3*C$9</f>
        <v>3.6</v>
      </c>
      <c r="K30" s="4">
        <f>K14*C$3*C$9</f>
        <v>3.24</v>
      </c>
      <c r="L30" s="4">
        <f>L14*C$3*C$9</f>
        <v>1.8</v>
      </c>
      <c r="M30" s="4">
        <f>M14*C$3*C$9</f>
        <v>1.4400000000000002</v>
      </c>
      <c r="N30" s="4">
        <f>N14*C$3*C$9</f>
        <v>0</v>
      </c>
      <c r="O30" s="4">
        <f>O14*C$3*C$9</f>
        <v>0</v>
      </c>
      <c r="P30" s="4">
        <f>P14*C$3*C$9</f>
        <v>0</v>
      </c>
      <c r="Q30" s="4">
        <f>Q14*C$3*C$9</f>
        <v>0</v>
      </c>
      <c r="R30" s="4">
        <f>R14*C$3*C$9</f>
        <v>0</v>
      </c>
      <c r="S30" s="4">
        <f>S14*C$3*C$9</f>
        <v>0</v>
      </c>
      <c r="U30" t="s">
        <v>9</v>
      </c>
      <c r="V30" s="4">
        <f>SUM(I29:J30)</f>
        <v>3.6</v>
      </c>
      <c r="W30" s="4">
        <f>V30*C$10</f>
        <v>1.8</v>
      </c>
      <c r="X30" s="4">
        <f>V30-W30</f>
        <v>1.8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S30" s="4"/>
      <c r="AT30" s="4"/>
      <c r="AU30" s="4"/>
    </row>
    <row r="31" spans="3:47" x14ac:dyDescent="0.25">
      <c r="C31" t="s">
        <v>10</v>
      </c>
      <c r="D31" s="4"/>
      <c r="E31" s="4"/>
      <c r="F31" s="4"/>
      <c r="G31" s="4"/>
      <c r="H31" s="4"/>
      <c r="I31" s="4"/>
      <c r="J31" s="4"/>
      <c r="K31" s="4">
        <f>K15*C$3*C$9</f>
        <v>6.48</v>
      </c>
      <c r="L31" s="4">
        <f>L15*C$3*C$9</f>
        <v>5.4</v>
      </c>
      <c r="M31" s="4">
        <f>M15*C$3*C$9</f>
        <v>1.0800000000000003</v>
      </c>
      <c r="N31" s="4">
        <f>N15*C$3*C$9</f>
        <v>0</v>
      </c>
      <c r="O31" s="4">
        <f>O15*C$3*C$9</f>
        <v>0</v>
      </c>
      <c r="P31" s="4">
        <f>P15*C$3*C$9</f>
        <v>0</v>
      </c>
      <c r="Q31" s="4">
        <f>Q15*C$3*C$9</f>
        <v>0</v>
      </c>
      <c r="R31" s="4">
        <f>R15*C$3*C$9</f>
        <v>0</v>
      </c>
      <c r="S31" s="4">
        <f>S15*C$3*C$9</f>
        <v>0</v>
      </c>
      <c r="U31" t="s">
        <v>10</v>
      </c>
      <c r="V31" s="4">
        <f>SUM(I29:K31)</f>
        <v>13.32</v>
      </c>
      <c r="W31" s="4">
        <f>V31*C$10</f>
        <v>6.66</v>
      </c>
      <c r="X31" s="4">
        <f>V31-W31</f>
        <v>6.66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S31" s="4"/>
      <c r="AT31" s="4"/>
      <c r="AU31" s="4"/>
    </row>
    <row r="32" spans="3:47" x14ac:dyDescent="0.25">
      <c r="C32" t="s">
        <v>11</v>
      </c>
      <c r="D32" s="4"/>
      <c r="E32" s="4"/>
      <c r="F32" s="4"/>
      <c r="G32" s="4"/>
      <c r="H32" s="4"/>
      <c r="I32" s="4"/>
      <c r="J32" s="4"/>
      <c r="K32" s="4"/>
      <c r="L32" s="4">
        <f>L16*C$3*C$9</f>
        <v>16.2</v>
      </c>
      <c r="M32" s="4">
        <f>M16*C$3*C$9</f>
        <v>0</v>
      </c>
      <c r="N32" s="4">
        <f>N16*C$3*C$9</f>
        <v>0</v>
      </c>
      <c r="O32" s="4">
        <f>O16*C$3*C$9</f>
        <v>0</v>
      </c>
      <c r="P32" s="4">
        <f>P16*C$3*C$9</f>
        <v>0</v>
      </c>
      <c r="Q32" s="4">
        <f>Q16*C$3*C$9</f>
        <v>0</v>
      </c>
      <c r="R32" s="4">
        <f>R16*C$3*C$9</f>
        <v>0</v>
      </c>
      <c r="S32" s="4">
        <f>S16*C$3*C$9</f>
        <v>0</v>
      </c>
      <c r="U32" t="s">
        <v>11</v>
      </c>
      <c r="V32" s="4">
        <f>SUM(I29:L32)</f>
        <v>36.72</v>
      </c>
      <c r="W32" s="4">
        <f>V32*C$10</f>
        <v>18.36</v>
      </c>
      <c r="X32" s="4">
        <f>V32-W32</f>
        <v>18.36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S32" s="4"/>
      <c r="AT32" s="4"/>
      <c r="AU32" s="4"/>
    </row>
    <row r="33" spans="3:47" x14ac:dyDescent="0.25">
      <c r="C33" t="s">
        <v>12</v>
      </c>
      <c r="D33" s="4"/>
      <c r="E33" s="4"/>
      <c r="F33" s="4"/>
      <c r="G33" s="4"/>
      <c r="H33" s="4"/>
      <c r="I33" s="4"/>
      <c r="J33" s="4"/>
      <c r="K33" s="4"/>
      <c r="L33" s="4"/>
      <c r="M33" s="4">
        <f>M17*C$3*C$9</f>
        <v>0.35999999999999871</v>
      </c>
      <c r="N33" s="4">
        <f>N17*C$3*C$9</f>
        <v>0</v>
      </c>
      <c r="O33" s="4">
        <f>O17*C$3*C$9</f>
        <v>0</v>
      </c>
      <c r="P33" s="4">
        <f>P17*C$3*C$9</f>
        <v>0</v>
      </c>
      <c r="Q33" s="4">
        <f>Q17*C$3*C$9</f>
        <v>0</v>
      </c>
      <c r="R33" s="4">
        <f>R17*C$3*C$9</f>
        <v>0</v>
      </c>
      <c r="S33" s="4">
        <f>S17*C$3*C$9</f>
        <v>0</v>
      </c>
      <c r="U33" t="s">
        <v>12</v>
      </c>
      <c r="V33" s="4">
        <f>SUM(I29:M33)</f>
        <v>39.6</v>
      </c>
      <c r="W33" s="4">
        <f>V33*C$10</f>
        <v>19.8</v>
      </c>
      <c r="X33" s="4">
        <f>V33-W33</f>
        <v>19.8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S33" s="4"/>
      <c r="AT33" s="4"/>
      <c r="AU33" s="4"/>
    </row>
    <row r="34" spans="3:47" x14ac:dyDescent="0.25">
      <c r="C34" t="s">
        <v>13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>
        <f>N18*C$3*C$9</f>
        <v>0</v>
      </c>
      <c r="O34" s="4">
        <f>O18*C$3*C$9</f>
        <v>0</v>
      </c>
      <c r="P34" s="4">
        <f>P18*C$3*C$9</f>
        <v>0</v>
      </c>
      <c r="Q34" s="4">
        <f>Q18*C$3*C$9</f>
        <v>0</v>
      </c>
      <c r="R34" s="4">
        <f>R18*C$3*C$9</f>
        <v>0</v>
      </c>
      <c r="S34" s="4">
        <f>S18*C$3*C$9</f>
        <v>0</v>
      </c>
      <c r="U34" t="s">
        <v>13</v>
      </c>
      <c r="V34" s="4">
        <f>SUM(I29:N34)</f>
        <v>39.6</v>
      </c>
      <c r="W34" s="4">
        <f>V34*C$10</f>
        <v>19.8</v>
      </c>
      <c r="X34" s="4">
        <f>V34-W34</f>
        <v>19.8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S34" s="4"/>
      <c r="AT34" s="4"/>
      <c r="AU34" s="4"/>
    </row>
    <row r="35" spans="3:47" x14ac:dyDescent="0.25">
      <c r="C35" t="s">
        <v>14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>
        <f>O19*C$3*C$9</f>
        <v>0</v>
      </c>
      <c r="P35" s="4">
        <f>P19*C$3*C$9</f>
        <v>0</v>
      </c>
      <c r="Q35" s="4">
        <f>Q19*C$3*C$9</f>
        <v>0</v>
      </c>
      <c r="R35" s="4">
        <f>R19*C$3*C$9</f>
        <v>0</v>
      </c>
      <c r="S35" s="4">
        <f>S19*C$3*C$9</f>
        <v>0</v>
      </c>
      <c r="U35" t="s">
        <v>14</v>
      </c>
      <c r="V35" s="4">
        <f>SUM(I29:O35)</f>
        <v>39.6</v>
      </c>
      <c r="W35" s="4">
        <f>V35*C$10</f>
        <v>19.8</v>
      </c>
      <c r="X35" s="4">
        <f>V35-W35</f>
        <v>19.8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S35" s="4"/>
      <c r="AT35" s="4"/>
      <c r="AU35" s="4"/>
    </row>
    <row r="36" spans="3:47" x14ac:dyDescent="0.25">
      <c r="C36" t="s">
        <v>15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>
        <f>P20*C$3*C$9</f>
        <v>0</v>
      </c>
      <c r="Q36" s="4">
        <f>Q20*C$3*C$9</f>
        <v>0</v>
      </c>
      <c r="R36" s="4">
        <f>R20*C$3*C$9</f>
        <v>0</v>
      </c>
      <c r="S36" s="4">
        <f>S20*C$3*C$9</f>
        <v>0</v>
      </c>
      <c r="U36" t="s">
        <v>15</v>
      </c>
      <c r="V36" s="4">
        <f>SUM(I29:P36)</f>
        <v>39.6</v>
      </c>
      <c r="W36" s="4">
        <f>V36*C$10</f>
        <v>19.8</v>
      </c>
      <c r="X36" s="4">
        <f>V36-W36</f>
        <v>19.8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S36" s="4"/>
      <c r="AT36" s="4"/>
      <c r="AU36" s="4"/>
    </row>
    <row r="37" spans="3:47" x14ac:dyDescent="0.25">
      <c r="C37" t="s">
        <v>16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>
        <f>Q21*C$3*C$9</f>
        <v>0</v>
      </c>
      <c r="R37" s="4">
        <f>R21*C$3*C$9</f>
        <v>0</v>
      </c>
      <c r="S37" s="4">
        <f>S21*C$3*C$9</f>
        <v>0</v>
      </c>
      <c r="U37" t="s">
        <v>16</v>
      </c>
      <c r="V37" s="4">
        <f>SUM(I29:Q37)</f>
        <v>39.6</v>
      </c>
      <c r="W37" s="4">
        <f>V37*C$10</f>
        <v>19.8</v>
      </c>
      <c r="X37" s="4">
        <f>V37-W37</f>
        <v>19.8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S37" s="4"/>
      <c r="AT37" s="4"/>
      <c r="AU37" s="4"/>
    </row>
    <row r="38" spans="3:47" x14ac:dyDescent="0.25">
      <c r="C38" t="s">
        <v>17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>
        <f>R22*C$3*C$9</f>
        <v>0</v>
      </c>
      <c r="S38" s="4">
        <f>S22*C$3*C$9</f>
        <v>0</v>
      </c>
      <c r="U38" t="s">
        <v>17</v>
      </c>
      <c r="V38" s="4">
        <f>SUM(I29:R38)</f>
        <v>39.6</v>
      </c>
      <c r="W38" s="4">
        <f>V38*C$10</f>
        <v>19.8</v>
      </c>
      <c r="X38" s="4">
        <f>V38-W38</f>
        <v>19.8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S38" s="4"/>
      <c r="AT38" s="4"/>
      <c r="AU38" s="4"/>
    </row>
    <row r="39" spans="3:47" x14ac:dyDescent="0.25">
      <c r="C39" t="s">
        <v>18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>
        <f>S23*C$3*C$9</f>
        <v>0</v>
      </c>
      <c r="U39" t="s">
        <v>18</v>
      </c>
      <c r="V39" s="4">
        <f>SUM(I29:S39)</f>
        <v>39.6</v>
      </c>
      <c r="W39" s="4">
        <f>V39*C$10</f>
        <v>19.8</v>
      </c>
      <c r="X39" s="4">
        <f>V39-W39</f>
        <v>19.8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S39" s="4"/>
      <c r="AT39" s="4"/>
      <c r="AU3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dirk.tri</dc:creator>
  <cp:lastModifiedBy>Dirk Triltsch</cp:lastModifiedBy>
  <dcterms:created xsi:type="dcterms:W3CDTF">2015-06-05T18:19:34Z</dcterms:created>
  <dcterms:modified xsi:type="dcterms:W3CDTF">2026-06-04T08:38:45Z</dcterms:modified>
</cp:coreProperties>
</file>